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App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TRUE = exact rows only. FALSE = linear interpolation.</t>
      </text>
    </comment>
    <comment authorId="0" ref="B3">
      <text>
        <t xml:space="preserve">Pick from dropdown or type any value 273.16–560 K</t>
      </text>
    </comment>
  </commentList>
</comments>
</file>

<file path=xl/sharedStrings.xml><?xml version="1.0" encoding="utf-8"?>
<sst xmlns="http://schemas.openxmlformats.org/spreadsheetml/2006/main" count="58" uniqueCount="55">
  <si>
    <t>Temperature K</t>
  </si>
  <si>
    <t>Pressure MPa</t>
  </si>
  <si>
    <t>Density mol/dm^3</t>
  </si>
  <si>
    <t>Volume dm^3/mol</t>
  </si>
  <si>
    <t>Int. energy kJ/mol</t>
  </si>
  <si>
    <t>Enthalpy kJ/mol</t>
  </si>
  <si>
    <t>Entropy kJ/mol-K</t>
  </si>
  <si>
    <t>Cv kJ/mol-K</t>
  </si>
  <si>
    <t>Cp kJ/mol-K</t>
  </si>
  <si>
    <t>Sound speed m/s</t>
  </si>
  <si>
    <t>Joule-Thomson K/MPa</t>
  </si>
  <si>
    <t>Therm. cond. mW/m.K</t>
  </si>
  <si>
    <t>Viscosity μPa.s</t>
  </si>
  <si>
    <t>💧 Water Thermodynamic Properties — SI &amp; English (Table 2-135)</t>
  </si>
  <si>
    <t>Input Temperature (K):</t>
  </si>
  <si>
    <t>Exact match only?</t>
  </si>
  <si>
    <t>📊 Interpolated Properties (SI + English)</t>
  </si>
  <si>
    <t>Property</t>
  </si>
  <si>
    <t>SI Value</t>
  </si>
  <si>
    <t>SI Unit</t>
  </si>
  <si>
    <t>English Value</t>
  </si>
  <si>
    <t>English Unit</t>
  </si>
  <si>
    <t>Notes</t>
  </si>
  <si>
    <t>Temperature</t>
  </si>
  <si>
    <t>K</t>
  </si>
  <si>
    <t>°R (Rankine)</t>
  </si>
  <si>
    <t>input</t>
  </si>
  <si>
    <t>Pressure</t>
  </si>
  <si>
    <t>MPa</t>
  </si>
  <si>
    <t>psia</t>
  </si>
  <si>
    <t>Density</t>
  </si>
  <si>
    <t>mol/dm³</t>
  </si>
  <si>
    <t>lbm/ft³</t>
  </si>
  <si>
    <t>as in table</t>
  </si>
  <si>
    <t>Density (mass basis)</t>
  </si>
  <si>
    <t>kg/m³</t>
  </si>
  <si>
    <t>ρ(mol/dm³) × 18.01528</t>
  </si>
  <si>
    <t>Enthalpy</t>
  </si>
  <si>
    <t>kJ/mol</t>
  </si>
  <si>
    <t>Btu/lbmol</t>
  </si>
  <si>
    <t>Enthalpy (mass basis)</t>
  </si>
  <si>
    <t>kJ/kg</t>
  </si>
  <si>
    <t>Btu/lbm</t>
  </si>
  <si>
    <t>÷ M(H₂O)</t>
  </si>
  <si>
    <t>Cv</t>
  </si>
  <si>
    <t>kJ/(mol·K)</t>
  </si>
  <si>
    <t>Btu/(lbmol·°R)</t>
  </si>
  <si>
    <t>Cp</t>
  </si>
  <si>
    <t>Viscosity</t>
  </si>
  <si>
    <t>μPa·s</t>
  </si>
  <si>
    <t>lbm/(ft·h)</t>
  </si>
  <si>
    <t>Thermal Conductivity</t>
  </si>
  <si>
    <t>mW/(m·K)</t>
  </si>
  <si>
    <t>Btu/(h·ft·°F)</t>
  </si>
  <si>
    <t>SI ↔ English: T:K→°R (×1.8) · P:MPa→psia (×145.038) · ρ:mol/dm³→lbm/ft³ (×1.12334) · H:kJ/mol→Btu/lbmol (×430.00) · Cp/Cv:kJ/mol·K→Btu/lbmol·°R (×238.85) · μ:μPa·s→lbm/ft·h (×0.00241909) · k:mW/m·K→Btu/h·ft·°F (×0.57779).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</si>
</sst>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i/>
      <color rgb="FF666666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  <fill>
      <patternFill patternType="solid">
        <fgColor rgb="FFF0F0F0"/>
        <bgColor rgb="FFF0F0F0"/>
      </patternFill>
    </fill>
    <fill>
      <patternFill patternType="solid">
        <fgColor rgb="FFFFF7E6"/>
        <bgColor rgb="FFFFF7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1" fillId="3" fontId="2" numFmtId="0" xfId="0" applyAlignment="1" applyBorder="1" applyFill="1" applyFont="1">
      <alignment readingOrder="0"/>
    </xf>
    <xf borderId="0" fillId="4" fontId="2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1" fillId="6" fontId="1" numFmtId="0" xfId="0" applyAlignment="1" applyBorder="1" applyFill="1" applyFont="1">
      <alignment readingOrder="0"/>
    </xf>
    <xf borderId="1" fillId="6" fontId="1" numFmtId="0" xfId="0" applyBorder="1" applyFill="1" applyFont="1"/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Border="1" applyFont="1"/>
    <xf borderId="1" fillId="7" fontId="2" numFmtId="0" xfId="0" applyAlignment="1" applyBorder="1" applyFill="1" applyFont="1">
      <alignment readingOrder="0"/>
    </xf>
    <xf borderId="1" fillId="7" fontId="2" numFmtId="0" xfId="0" applyBorder="1" applyFill="1" applyFont="1"/>
    <xf borderId="1" fillId="7" fontId="2" numFmtId="0" xfId="0" applyBorder="1" applyFill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1" displayName="Steam_Table" name="Steam_Table" id="1">
  <tableColumns count="13">
    <tableColumn name="Temperature K" id="1"/>
    <tableColumn name="Pressure MPa" id="2"/>
    <tableColumn name="Density mol/dm^3" id="3"/>
    <tableColumn name="Volume dm^3/mol" id="4"/>
    <tableColumn name="Int. energy kJ/mol" id="5"/>
    <tableColumn name="Enthalpy kJ/mol" id="6"/>
    <tableColumn name="Entropy kJ/mol-K" id="7"/>
    <tableColumn name="Cv kJ/mol-K" id="8"/>
    <tableColumn name="Cp kJ/mol-K" id="9"/>
    <tableColumn name="Sound speed m/s" id="10"/>
    <tableColumn name="Joule-Thomson K/MPa" id="11"/>
    <tableColumn name="Therm. cond. mW/m.K" id="12"/>
    <tableColumn name="Viscosity μPa.s" id="13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9.25"/>
    <col customWidth="1" min="3" max="3" width="21.5"/>
    <col customWidth="1" min="4" max="4" width="21.63"/>
    <col customWidth="1" min="5" max="5" width="22.38"/>
    <col customWidth="1" min="6" max="6" width="20.88"/>
    <col customWidth="1" min="7" max="7" width="21.75"/>
    <col customWidth="1" min="8" max="8" width="17.88"/>
    <col customWidth="1" min="9" max="9" width="18.0"/>
    <col customWidth="1" min="10" max="10" width="21.75"/>
    <col customWidth="1" min="11" max="11" width="26.13"/>
    <col customWidth="1" min="12" max="12" width="25.63"/>
    <col customWidth="1" min="13" max="13" width="2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273.16</v>
      </c>
      <c r="B2" s="2">
        <v>6.12E-4</v>
      </c>
      <c r="C2" s="2">
        <v>55.497</v>
      </c>
      <c r="D2" s="2">
        <v>0.018019</v>
      </c>
      <c r="E2" s="2">
        <v>0.0</v>
      </c>
      <c r="F2" s="2">
        <v>1.1E-5</v>
      </c>
      <c r="G2" s="2">
        <v>0.0</v>
      </c>
      <c r="H2" s="2">
        <v>0.075978</v>
      </c>
      <c r="I2" s="2">
        <v>0.076023</v>
      </c>
      <c r="J2" s="2">
        <v>1402.3</v>
      </c>
      <c r="K2" s="2">
        <v>-0.24142</v>
      </c>
      <c r="L2" s="2">
        <v>561.04</v>
      </c>
      <c r="M2" s="2">
        <v>1791.2</v>
      </c>
    </row>
    <row r="3" ht="22.5" customHeight="1">
      <c r="A3" s="2">
        <v>280.0</v>
      </c>
      <c r="B3" s="2">
        <v>9.92E-4</v>
      </c>
      <c r="C3" s="2">
        <v>55.501</v>
      </c>
      <c r="D3" s="2">
        <v>0.018018</v>
      </c>
      <c r="E3" s="2">
        <v>0.51875</v>
      </c>
      <c r="F3" s="2">
        <v>0.51877</v>
      </c>
      <c r="G3" s="2">
        <v>0.001876</v>
      </c>
      <c r="H3" s="2">
        <v>0.075669</v>
      </c>
      <c r="I3" s="2">
        <v>0.075688</v>
      </c>
      <c r="J3" s="2">
        <v>1434.1</v>
      </c>
      <c r="K3" s="2">
        <v>-0.23515</v>
      </c>
      <c r="L3" s="2">
        <v>574.04</v>
      </c>
      <c r="M3" s="2">
        <v>1433.7</v>
      </c>
    </row>
    <row r="4" ht="22.5" customHeight="1">
      <c r="A4" s="2">
        <v>290.0</v>
      </c>
      <c r="B4" s="2">
        <v>0.00192</v>
      </c>
      <c r="C4" s="2">
        <v>55.44</v>
      </c>
      <c r="D4" s="2">
        <v>0.018038</v>
      </c>
      <c r="E4" s="2">
        <v>1.2742</v>
      </c>
      <c r="F4" s="2">
        <v>1.2742</v>
      </c>
      <c r="G4" s="2">
        <v>0.004527</v>
      </c>
      <c r="H4" s="2">
        <v>0.075095</v>
      </c>
      <c r="I4" s="2">
        <v>0.075429</v>
      </c>
      <c r="J4" s="2">
        <v>1472.1</v>
      </c>
      <c r="K4" s="2">
        <v>-0.2272</v>
      </c>
      <c r="L4" s="2">
        <v>592.73</v>
      </c>
      <c r="M4" s="2">
        <v>1084.0</v>
      </c>
    </row>
    <row r="5" ht="22.5" customHeight="1">
      <c r="A5" s="2">
        <v>300.0</v>
      </c>
      <c r="B5" s="2">
        <v>0.003537</v>
      </c>
      <c r="C5" s="2">
        <v>55.315</v>
      </c>
      <c r="D5" s="2">
        <v>0.018078</v>
      </c>
      <c r="E5" s="2">
        <v>2.0278</v>
      </c>
      <c r="F5" s="2">
        <v>2.0279</v>
      </c>
      <c r="G5" s="2">
        <v>0.007082</v>
      </c>
      <c r="H5" s="2">
        <v>0.074412</v>
      </c>
      <c r="I5" s="2">
        <v>0.07532</v>
      </c>
      <c r="J5" s="2">
        <v>1501.4</v>
      </c>
      <c r="K5" s="2">
        <v>-0.22024</v>
      </c>
      <c r="L5" s="2">
        <v>610.28</v>
      </c>
      <c r="M5" s="2">
        <v>853.84</v>
      </c>
    </row>
    <row r="6" ht="22.5" customHeight="1">
      <c r="A6" s="2">
        <v>310.0</v>
      </c>
      <c r="B6" s="2">
        <v>0.006231</v>
      </c>
      <c r="C6" s="2">
        <v>55.139</v>
      </c>
      <c r="D6" s="2">
        <v>0.018136</v>
      </c>
      <c r="E6" s="2">
        <v>2.7808</v>
      </c>
      <c r="F6" s="2">
        <v>2.781</v>
      </c>
      <c r="G6" s="2">
        <v>0.009551</v>
      </c>
      <c r="H6" s="2">
        <v>0.073645</v>
      </c>
      <c r="I6" s="2">
        <v>0.075294</v>
      </c>
      <c r="J6" s="2">
        <v>1523.2</v>
      </c>
      <c r="K6" s="2">
        <v>-0.21393</v>
      </c>
      <c r="L6" s="2">
        <v>626.05</v>
      </c>
      <c r="M6" s="2">
        <v>693.54</v>
      </c>
    </row>
    <row r="7" ht="22.5" customHeight="1">
      <c r="A7" s="2">
        <v>320.0</v>
      </c>
      <c r="B7" s="2">
        <v>0.010546</v>
      </c>
      <c r="C7" s="2">
        <v>54.919</v>
      </c>
      <c r="D7" s="2">
        <v>0.018209</v>
      </c>
      <c r="E7" s="2">
        <v>3.5339</v>
      </c>
      <c r="F7" s="2">
        <v>3.534</v>
      </c>
      <c r="G7" s="2">
        <v>0.011941</v>
      </c>
      <c r="H7" s="2">
        <v>0.072811</v>
      </c>
      <c r="I7" s="2">
        <v>0.075317</v>
      </c>
      <c r="J7" s="2">
        <v>1538.7</v>
      </c>
      <c r="K7" s="2">
        <v>-0.20804</v>
      </c>
      <c r="L7" s="2">
        <v>639.71</v>
      </c>
      <c r="M7" s="2">
        <v>577.02</v>
      </c>
    </row>
    <row r="8" ht="22.5" customHeight="1">
      <c r="A8" s="2">
        <v>330.0</v>
      </c>
      <c r="B8" s="2">
        <v>0.017213</v>
      </c>
      <c r="C8" s="2">
        <v>54.662</v>
      </c>
      <c r="D8" s="2">
        <v>0.018294</v>
      </c>
      <c r="E8" s="2">
        <v>4.2873</v>
      </c>
      <c r="F8" s="2">
        <v>4.2876</v>
      </c>
      <c r="G8" s="2">
        <v>0.01426</v>
      </c>
      <c r="H8" s="2">
        <v>0.071927</v>
      </c>
      <c r="I8" s="2">
        <v>0.075373</v>
      </c>
      <c r="J8" s="2">
        <v>1548.7</v>
      </c>
      <c r="K8" s="2">
        <v>-0.20241</v>
      </c>
      <c r="L8" s="2">
        <v>651.18</v>
      </c>
      <c r="M8" s="2">
        <v>489.49</v>
      </c>
    </row>
    <row r="9" ht="22.5" customHeight="1">
      <c r="A9" s="2">
        <v>340.0</v>
      </c>
      <c r="B9" s="2">
        <v>0.027188</v>
      </c>
      <c r="C9" s="2">
        <v>54.371</v>
      </c>
      <c r="D9" s="2">
        <v>0.018392</v>
      </c>
      <c r="E9" s="2">
        <v>5.0414</v>
      </c>
      <c r="F9" s="2">
        <v>5.0419</v>
      </c>
      <c r="G9" s="2">
        <v>0.016511</v>
      </c>
      <c r="H9" s="2">
        <v>0.071008</v>
      </c>
      <c r="I9" s="2">
        <v>0.075456</v>
      </c>
      <c r="J9" s="2">
        <v>1553.9</v>
      </c>
      <c r="K9" s="2">
        <v>-0.1969</v>
      </c>
      <c r="L9" s="2">
        <v>660.55</v>
      </c>
      <c r="M9" s="2">
        <v>421.97</v>
      </c>
    </row>
    <row r="10" ht="22.5" customHeight="1">
      <c r="A10" s="2">
        <v>350.0</v>
      </c>
      <c r="B10" s="2">
        <v>0.041682</v>
      </c>
      <c r="C10" s="2">
        <v>54.049</v>
      </c>
      <c r="D10" s="2">
        <v>0.018502</v>
      </c>
      <c r="E10" s="2">
        <v>5.7964</v>
      </c>
      <c r="F10" s="2">
        <v>5.7972</v>
      </c>
      <c r="G10" s="2">
        <v>0.0187</v>
      </c>
      <c r="H10" s="2">
        <v>0.07007</v>
      </c>
      <c r="I10" s="2">
        <v>0.075567</v>
      </c>
      <c r="J10" s="2">
        <v>1554.8</v>
      </c>
      <c r="K10" s="2">
        <v>-0.1914</v>
      </c>
      <c r="L10" s="2">
        <v>668.0</v>
      </c>
      <c r="M10" s="2">
        <v>368.77</v>
      </c>
    </row>
    <row r="11" ht="22.5" customHeight="1">
      <c r="A11" s="2">
        <v>360.0</v>
      </c>
      <c r="B11" s="2">
        <v>0.062194</v>
      </c>
      <c r="C11" s="2">
        <v>53.698</v>
      </c>
      <c r="D11" s="2">
        <v>0.018623</v>
      </c>
      <c r="E11" s="2">
        <v>6.5526</v>
      </c>
      <c r="F11" s="2">
        <v>6.5538</v>
      </c>
      <c r="G11" s="2">
        <v>0.02083</v>
      </c>
      <c r="H11" s="2">
        <v>0.069124</v>
      </c>
      <c r="I11" s="2">
        <v>0.075708</v>
      </c>
      <c r="J11" s="2">
        <v>1552.0</v>
      </c>
      <c r="K11" s="2">
        <v>-0.18581</v>
      </c>
      <c r="L11" s="2">
        <v>673.76</v>
      </c>
      <c r="M11" s="2">
        <v>326.1</v>
      </c>
    </row>
    <row r="12" ht="22.5" customHeight="1">
      <c r="A12" s="2">
        <v>370.0</v>
      </c>
      <c r="B12" s="2">
        <v>0.090535</v>
      </c>
      <c r="C12" s="2">
        <v>53.321</v>
      </c>
      <c r="D12" s="2">
        <v>0.018754</v>
      </c>
      <c r="E12" s="2">
        <v>7.3104</v>
      </c>
      <c r="F12" s="2">
        <v>7.3121</v>
      </c>
      <c r="G12" s="2">
        <v>0.022906</v>
      </c>
      <c r="H12" s="2">
        <v>0.06818</v>
      </c>
      <c r="I12" s="2">
        <v>0.075883</v>
      </c>
      <c r="J12" s="2">
        <v>1545.8</v>
      </c>
      <c r="K12" s="2">
        <v>-0.18005</v>
      </c>
      <c r="L12" s="2">
        <v>678.02</v>
      </c>
      <c r="M12" s="2">
        <v>291.36</v>
      </c>
    </row>
    <row r="13" ht="22.5" customHeight="1">
      <c r="A13" s="2">
        <v>380.0</v>
      </c>
      <c r="B13" s="2">
        <v>0.12885</v>
      </c>
      <c r="C13" s="2">
        <v>52.918</v>
      </c>
      <c r="D13" s="2">
        <v>0.018897</v>
      </c>
      <c r="E13" s="2">
        <v>8.0701</v>
      </c>
      <c r="F13" s="2">
        <v>8.0725</v>
      </c>
      <c r="G13" s="2">
        <v>0.024932</v>
      </c>
      <c r="H13" s="2">
        <v>0.067247</v>
      </c>
      <c r="I13" s="2">
        <v>0.076098</v>
      </c>
      <c r="J13" s="2">
        <v>1536.5</v>
      </c>
      <c r="K13" s="2">
        <v>-0.17404</v>
      </c>
      <c r="L13" s="2">
        <v>681.0</v>
      </c>
      <c r="M13" s="2">
        <v>262.69</v>
      </c>
    </row>
    <row r="14" ht="22.5" customHeight="1">
      <c r="A14" s="2">
        <v>390.0</v>
      </c>
      <c r="B14" s="2">
        <v>0.17964</v>
      </c>
      <c r="C14" s="2">
        <v>52.49</v>
      </c>
      <c r="D14" s="2">
        <v>0.019051</v>
      </c>
      <c r="E14" s="2">
        <v>8.832</v>
      </c>
      <c r="F14" s="2">
        <v>8.8354</v>
      </c>
      <c r="G14" s="2">
        <v>0.026911</v>
      </c>
      <c r="H14" s="2">
        <v>0.066331</v>
      </c>
      <c r="I14" s="2">
        <v>0.076357</v>
      </c>
      <c r="J14" s="2">
        <v>1524.3</v>
      </c>
      <c r="K14" s="2">
        <v>-0.16769</v>
      </c>
      <c r="L14" s="2">
        <v>682.83</v>
      </c>
      <c r="M14" s="2">
        <v>238.77</v>
      </c>
    </row>
    <row r="15" ht="22.5" customHeight="1">
      <c r="A15" s="2">
        <v>400.0</v>
      </c>
      <c r="B15" s="2">
        <v>0.24577</v>
      </c>
      <c r="C15" s="2">
        <v>52.038</v>
      </c>
      <c r="D15" s="2">
        <v>0.019217</v>
      </c>
      <c r="E15" s="2">
        <v>9.5966</v>
      </c>
      <c r="F15" s="2">
        <v>9.6013</v>
      </c>
      <c r="G15" s="2">
        <v>0.028847</v>
      </c>
      <c r="H15" s="2">
        <v>0.065438</v>
      </c>
      <c r="I15" s="2">
        <v>0.076664</v>
      </c>
      <c r="J15" s="2">
        <v>1509.5</v>
      </c>
      <c r="K15" s="2">
        <v>-0.16092</v>
      </c>
      <c r="L15" s="2">
        <v>683.64</v>
      </c>
      <c r="M15" s="2">
        <v>218.6</v>
      </c>
    </row>
    <row r="16" ht="22.5" customHeight="1">
      <c r="A16" s="2">
        <v>410.0</v>
      </c>
      <c r="B16" s="2">
        <v>0.33045</v>
      </c>
      <c r="C16" s="2">
        <v>51.563</v>
      </c>
      <c r="D16" s="2">
        <v>0.019394</v>
      </c>
      <c r="E16" s="2">
        <v>10.364</v>
      </c>
      <c r="F16" s="2">
        <v>10.371</v>
      </c>
      <c r="G16" s="2">
        <v>0.030743</v>
      </c>
      <c r="H16" s="2">
        <v>0.06457</v>
      </c>
      <c r="I16" s="2">
        <v>0.077026</v>
      </c>
      <c r="J16" s="2">
        <v>1492.2</v>
      </c>
      <c r="K16" s="2">
        <v>-0.15366</v>
      </c>
      <c r="L16" s="2">
        <v>683.52</v>
      </c>
      <c r="M16" s="2">
        <v>201.43</v>
      </c>
    </row>
    <row r="17" ht="22.5" customHeight="1">
      <c r="A17" s="2">
        <v>420.0</v>
      </c>
      <c r="B17" s="2">
        <v>0.4373</v>
      </c>
      <c r="C17" s="2">
        <v>51.064</v>
      </c>
      <c r="D17" s="2">
        <v>0.019583</v>
      </c>
      <c r="E17" s="2">
        <v>11.136</v>
      </c>
      <c r="F17" s="2">
        <v>11.144</v>
      </c>
      <c r="G17" s="2">
        <v>0.032602</v>
      </c>
      <c r="H17" s="2">
        <v>0.063731</v>
      </c>
      <c r="I17" s="2">
        <v>0.077447</v>
      </c>
      <c r="J17" s="2">
        <v>1472.5</v>
      </c>
      <c r="K17" s="2">
        <v>-0.14581</v>
      </c>
      <c r="L17" s="2">
        <v>682.53</v>
      </c>
      <c r="M17" s="2">
        <v>186.68</v>
      </c>
    </row>
    <row r="18" ht="22.5" customHeight="1">
      <c r="A18" s="2">
        <v>430.0</v>
      </c>
      <c r="B18" s="2">
        <v>0.57026</v>
      </c>
      <c r="C18" s="2">
        <v>50.541</v>
      </c>
      <c r="D18" s="2">
        <v>0.019786</v>
      </c>
      <c r="E18" s="2">
        <v>11.911</v>
      </c>
      <c r="F18" s="2">
        <v>11.923</v>
      </c>
      <c r="G18" s="2">
        <v>0.034427</v>
      </c>
      <c r="H18" s="2">
        <v>0.06292</v>
      </c>
      <c r="I18" s="2">
        <v>0.077934</v>
      </c>
      <c r="J18" s="2">
        <v>1450.6</v>
      </c>
      <c r="K18" s="2">
        <v>-0.13728</v>
      </c>
      <c r="L18" s="2">
        <v>680.7</v>
      </c>
      <c r="M18" s="2">
        <v>173.91</v>
      </c>
    </row>
    <row r="19" ht="22.5" customHeight="1">
      <c r="A19" s="2">
        <v>440.0</v>
      </c>
      <c r="B19" s="2">
        <v>0.73367</v>
      </c>
      <c r="C19" s="2">
        <v>49.994</v>
      </c>
      <c r="D19" s="2">
        <v>0.020003</v>
      </c>
      <c r="E19" s="2">
        <v>12.692</v>
      </c>
      <c r="F19" s="2">
        <v>12.706</v>
      </c>
      <c r="G19" s="2">
        <v>0.036222</v>
      </c>
      <c r="H19" s="2">
        <v>0.06214</v>
      </c>
      <c r="I19" s="2">
        <v>0.078495</v>
      </c>
      <c r="J19" s="2">
        <v>1426.5</v>
      </c>
      <c r="K19" s="2">
        <v>-0.12794</v>
      </c>
      <c r="L19" s="2">
        <v>678.05</v>
      </c>
      <c r="M19" s="2">
        <v>162.77</v>
      </c>
    </row>
    <row r="20" ht="22.5" customHeight="1">
      <c r="A20" s="2">
        <v>450.0</v>
      </c>
      <c r="B20" s="2">
        <v>0.9322</v>
      </c>
      <c r="C20" s="2">
        <v>49.421</v>
      </c>
      <c r="D20" s="2">
        <v>0.020234</v>
      </c>
      <c r="E20" s="2">
        <v>13.477</v>
      </c>
      <c r="F20" s="2">
        <v>13.496</v>
      </c>
      <c r="G20" s="2">
        <v>0.037988</v>
      </c>
      <c r="H20" s="2">
        <v>0.06139</v>
      </c>
      <c r="I20" s="2">
        <v>0.079136</v>
      </c>
      <c r="J20" s="2">
        <v>1400.4</v>
      </c>
      <c r="K20" s="2">
        <v>-0.11767</v>
      </c>
      <c r="L20" s="2">
        <v>674.59</v>
      </c>
      <c r="M20" s="2">
        <v>152.98</v>
      </c>
    </row>
    <row r="21" ht="22.5" customHeight="1">
      <c r="A21" s="2">
        <v>460.0</v>
      </c>
      <c r="B21" s="2">
        <v>1.1709</v>
      </c>
      <c r="C21" s="2">
        <v>48.824</v>
      </c>
      <c r="D21" s="2">
        <v>0.020482</v>
      </c>
      <c r="E21" s="2">
        <v>14.269</v>
      </c>
      <c r="F21" s="2">
        <v>14.293</v>
      </c>
      <c r="G21" s="2">
        <v>0.039729</v>
      </c>
      <c r="H21" s="2">
        <v>0.060671</v>
      </c>
      <c r="I21" s="2">
        <v>0.079869</v>
      </c>
      <c r="J21" s="2">
        <v>1372.2</v>
      </c>
      <c r="K21" s="2">
        <v>-0.10631</v>
      </c>
      <c r="L21" s="2">
        <v>670.28</v>
      </c>
      <c r="M21" s="2">
        <v>144.31</v>
      </c>
    </row>
    <row r="22" ht="22.5" customHeight="1">
      <c r="A22" s="2">
        <v>470.0</v>
      </c>
      <c r="B22" s="2">
        <v>1.4551</v>
      </c>
      <c r="C22" s="2">
        <v>48.199</v>
      </c>
      <c r="D22" s="2">
        <v>0.020748</v>
      </c>
      <c r="E22" s="2">
        <v>15.068</v>
      </c>
      <c r="F22" s="2">
        <v>15.098</v>
      </c>
      <c r="G22" s="2">
        <v>0.041448</v>
      </c>
      <c r="H22" s="2">
        <v>0.059984</v>
      </c>
      <c r="I22" s="2">
        <v>0.080706</v>
      </c>
      <c r="J22" s="2">
        <v>1342.0</v>
      </c>
      <c r="K22" s="2">
        <v>-0.09369</v>
      </c>
      <c r="L22" s="2">
        <v>665.12</v>
      </c>
      <c r="M22" s="2">
        <v>136.58</v>
      </c>
    </row>
    <row r="23" ht="22.5" customHeight="1">
      <c r="A23" s="2">
        <v>480.0</v>
      </c>
      <c r="B23" s="2">
        <v>1.7905</v>
      </c>
      <c r="C23" s="2">
        <v>47.545</v>
      </c>
      <c r="D23" s="2">
        <v>0.021033</v>
      </c>
      <c r="E23" s="2">
        <v>15.875</v>
      </c>
      <c r="F23" s="2">
        <v>15.913</v>
      </c>
      <c r="G23" s="2">
        <v>0.043147</v>
      </c>
      <c r="H23" s="2">
        <v>0.059327</v>
      </c>
      <c r="I23" s="2">
        <v>0.081662</v>
      </c>
      <c r="J23" s="2">
        <v>1309.8</v>
      </c>
      <c r="K23" s="2">
        <v>-0.07959</v>
      </c>
      <c r="L23" s="2">
        <v>659.07</v>
      </c>
      <c r="M23" s="2">
        <v>129.64</v>
      </c>
    </row>
    <row r="24" ht="22.5" customHeight="1">
      <c r="A24" s="2">
        <v>490.0</v>
      </c>
      <c r="B24" s="2">
        <v>2.1831</v>
      </c>
      <c r="C24" s="2">
        <v>46.861</v>
      </c>
      <c r="D24" s="2">
        <v>0.02134</v>
      </c>
      <c r="E24" s="2">
        <v>16.69</v>
      </c>
      <c r="F24" s="2">
        <v>16.737</v>
      </c>
      <c r="G24" s="2">
        <v>0.04483</v>
      </c>
      <c r="H24" s="2">
        <v>0.058702</v>
      </c>
      <c r="I24" s="2">
        <v>0.082757</v>
      </c>
      <c r="J24" s="2">
        <v>1275.7</v>
      </c>
      <c r="K24" s="2">
        <v>-0.06372</v>
      </c>
      <c r="L24" s="2">
        <v>652.06</v>
      </c>
      <c r="M24" s="2">
        <v>123.37</v>
      </c>
    </row>
    <row r="25" ht="22.5" customHeight="1">
      <c r="A25" s="2">
        <v>500.0</v>
      </c>
      <c r="B25" s="2">
        <v>2.6392</v>
      </c>
      <c r="C25" s="2">
        <v>46.145</v>
      </c>
      <c r="D25" s="2">
        <v>0.021671</v>
      </c>
      <c r="E25" s="2">
        <v>17.515</v>
      </c>
      <c r="F25" s="2">
        <v>17.573</v>
      </c>
      <c r="G25" s="2">
        <v>0.046498</v>
      </c>
      <c r="H25" s="2">
        <v>0.058109</v>
      </c>
      <c r="I25" s="2">
        <v>0.084013</v>
      </c>
      <c r="J25" s="2">
        <v>1239.6</v>
      </c>
      <c r="K25" s="2">
        <v>-0.04578</v>
      </c>
      <c r="L25" s="2">
        <v>644.05</v>
      </c>
      <c r="M25" s="2">
        <v>117.66</v>
      </c>
    </row>
    <row r="26" ht="22.5" customHeight="1">
      <c r="A26" s="2">
        <v>510.0</v>
      </c>
      <c r="B26" s="2">
        <v>3.1655</v>
      </c>
      <c r="C26" s="2">
        <v>45.393</v>
      </c>
      <c r="D26" s="2">
        <v>0.02203</v>
      </c>
      <c r="E26" s="2">
        <v>18.352</v>
      </c>
      <c r="F26" s="2">
        <v>18.421</v>
      </c>
      <c r="G26" s="2">
        <v>0.048156</v>
      </c>
      <c r="H26" s="2">
        <v>0.057548</v>
      </c>
      <c r="I26" s="2">
        <v>0.085464</v>
      </c>
      <c r="J26" s="2">
        <v>1201.5</v>
      </c>
      <c r="K26" s="2">
        <v>-0.02534</v>
      </c>
      <c r="L26" s="2">
        <v>634.95</v>
      </c>
      <c r="M26" s="2">
        <v>112.42</v>
      </c>
    </row>
    <row r="27" ht="22.5" customHeight="1">
      <c r="A27" s="2">
        <v>520.0</v>
      </c>
      <c r="B27" s="2">
        <v>3.769</v>
      </c>
      <c r="C27" s="2">
        <v>44.603</v>
      </c>
      <c r="D27" s="2">
        <v>0.02242</v>
      </c>
      <c r="E27" s="2">
        <v>19.2</v>
      </c>
      <c r="F27" s="2">
        <v>19.285</v>
      </c>
      <c r="G27" s="2">
        <v>0.049807</v>
      </c>
      <c r="H27" s="2">
        <v>0.057023</v>
      </c>
      <c r="I27" s="2">
        <v>0.087149</v>
      </c>
      <c r="J27" s="2">
        <v>1161.3</v>
      </c>
      <c r="K27" s="2">
        <v>-0.00189</v>
      </c>
      <c r="L27" s="2">
        <v>624.68</v>
      </c>
      <c r="M27" s="2">
        <v>107.57</v>
      </c>
    </row>
    <row r="28" ht="22.5" customHeight="1">
      <c r="A28" s="2">
        <v>530.0</v>
      </c>
      <c r="B28" s="2">
        <v>4.4569</v>
      </c>
      <c r="C28" s="2">
        <v>43.77</v>
      </c>
      <c r="D28" s="2">
        <v>0.022847</v>
      </c>
      <c r="E28" s="2">
        <v>20.064</v>
      </c>
      <c r="F28" s="2">
        <v>20.165</v>
      </c>
      <c r="G28" s="2">
        <v>0.051454</v>
      </c>
      <c r="H28" s="2">
        <v>0.056536</v>
      </c>
      <c r="I28" s="2">
        <v>0.089124</v>
      </c>
      <c r="J28" s="2">
        <v>1119.1</v>
      </c>
      <c r="K28" s="2">
        <v>0.025264</v>
      </c>
      <c r="L28" s="2">
        <v>613.15</v>
      </c>
      <c r="M28" s="2">
        <v>103.05</v>
      </c>
    </row>
    <row r="29" ht="22.5" customHeight="1">
      <c r="A29" s="2">
        <v>540.0</v>
      </c>
      <c r="B29" s="2">
        <v>5.2369</v>
      </c>
      <c r="C29" s="2">
        <v>42.889</v>
      </c>
      <c r="D29" s="2">
        <v>0.023316</v>
      </c>
      <c r="E29" s="2">
        <v>20.943</v>
      </c>
      <c r="F29" s="2">
        <v>21.065</v>
      </c>
      <c r="G29" s="2">
        <v>0.053102</v>
      </c>
      <c r="H29" s="2">
        <v>0.056089</v>
      </c>
      <c r="I29" s="2">
        <v>0.091464</v>
      </c>
      <c r="J29" s="2">
        <v>1074.6</v>
      </c>
      <c r="K29" s="2">
        <v>0.057002</v>
      </c>
      <c r="L29" s="2">
        <v>600.26</v>
      </c>
      <c r="M29" s="2">
        <v>98.792</v>
      </c>
    </row>
    <row r="30" ht="22.5" customHeight="1">
      <c r="A30" s="2">
        <v>550.0</v>
      </c>
      <c r="B30" s="2">
        <v>6.1172</v>
      </c>
      <c r="C30" s="2">
        <v>41.954</v>
      </c>
      <c r="D30" s="2">
        <v>0.023836</v>
      </c>
      <c r="E30" s="2">
        <v>21.841</v>
      </c>
      <c r="F30" s="2">
        <v>21.987</v>
      </c>
      <c r="G30" s="2">
        <v>0.054756</v>
      </c>
      <c r="H30" s="2">
        <v>0.05569</v>
      </c>
      <c r="I30" s="2">
        <v>0.094275</v>
      </c>
      <c r="J30" s="2">
        <v>1027.9</v>
      </c>
      <c r="K30" s="2">
        <v>0.094527</v>
      </c>
      <c r="L30" s="2">
        <v>585.95</v>
      </c>
      <c r="M30" s="2">
        <v>94.746</v>
      </c>
    </row>
    <row r="31" ht="22.5" customHeight="1">
      <c r="A31" s="2">
        <v>560.0</v>
      </c>
      <c r="B31" s="2">
        <v>7.1062</v>
      </c>
      <c r="C31" s="2">
        <v>40.956</v>
      </c>
      <c r="D31" s="2">
        <v>0.024417</v>
      </c>
      <c r="E31" s="2">
        <v>22.762</v>
      </c>
      <c r="F31" s="2">
        <v>22.935</v>
      </c>
      <c r="G31" s="2">
        <v>0.056422</v>
      </c>
      <c r="H31" s="2">
        <v>0.055347</v>
      </c>
      <c r="I31" s="2">
        <v>0.097713</v>
      </c>
      <c r="J31" s="2">
        <v>978.54</v>
      </c>
      <c r="K31" s="2">
        <v>0.13949</v>
      </c>
      <c r="L31" s="2">
        <v>570.21</v>
      </c>
      <c r="M31" s="2">
        <v>90.857</v>
      </c>
    </row>
  </sheetData>
  <dataValidations>
    <dataValidation type="custom" allowBlank="1" showDropDown="1" sqref="A2:M3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3" width="13.88"/>
    <col customWidth="1" min="4" max="4" width="15.13"/>
    <col customWidth="1" min="5" max="5" width="17.63"/>
    <col customWidth="1" min="6" max="6" width="27.63"/>
  </cols>
  <sheetData>
    <row r="1">
      <c r="A1" s="3" t="s">
        <v>13</v>
      </c>
    </row>
    <row r="3">
      <c r="A3" s="4" t="s">
        <v>14</v>
      </c>
      <c r="B3" s="5">
        <v>311.0</v>
      </c>
    </row>
    <row r="4">
      <c r="A4" s="4" t="s">
        <v>15</v>
      </c>
      <c r="B4" s="6" t="b">
        <v>0</v>
      </c>
    </row>
    <row r="6">
      <c r="A6" s="7" t="s">
        <v>16</v>
      </c>
    </row>
    <row r="7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22</v>
      </c>
      <c r="G7" s="9"/>
    </row>
    <row r="8">
      <c r="A8" s="10" t="s">
        <v>23</v>
      </c>
      <c r="B8" s="11">
        <f>$B$3</f>
        <v>311</v>
      </c>
      <c r="C8" s="10" t="s">
        <v>24</v>
      </c>
      <c r="D8" s="12">
        <f>$B$3*1.8</f>
        <v>559.8</v>
      </c>
      <c r="E8" s="10" t="s">
        <v>25</v>
      </c>
      <c r="F8" s="10" t="s">
        <v>26</v>
      </c>
      <c r="G8" s="11"/>
    </row>
    <row r="9">
      <c r="A9" s="10" t="s">
        <v>27</v>
      </c>
      <c r="B9" s="11">
        <f>INTERP_P($B$3,$B$4)</f>
        <v>0.0066625</v>
      </c>
      <c r="C9" s="10" t="s">
        <v>28</v>
      </c>
      <c r="D9" s="11">
        <f>INTERP_P($B$3,$B$4)*145.038</f>
        <v>0.966315675</v>
      </c>
      <c r="E9" s="10" t="s">
        <v>29</v>
      </c>
      <c r="F9" s="12"/>
      <c r="G9" s="11"/>
    </row>
    <row r="10">
      <c r="A10" s="10" t="s">
        <v>30</v>
      </c>
      <c r="B10" s="11">
        <f>INTERP_RHO($B$3,$B$4)</f>
        <v>55.117</v>
      </c>
      <c r="C10" s="10" t="s">
        <v>31</v>
      </c>
      <c r="D10" s="12">
        <f>INTERP_RHO($B$3,$B$4)*1.12334</f>
        <v>61.91513078</v>
      </c>
      <c r="E10" s="10" t="s">
        <v>32</v>
      </c>
      <c r="F10" s="10" t="s">
        <v>33</v>
      </c>
      <c r="G10" s="11"/>
    </row>
    <row r="11">
      <c r="A11" s="13" t="s">
        <v>34</v>
      </c>
      <c r="B11" s="14">
        <f>INTERP_RHO($B$3,$B$4)*18.01528</f>
        <v>992.9481878</v>
      </c>
      <c r="C11" s="13" t="s">
        <v>35</v>
      </c>
      <c r="D11" s="15">
        <f>INTERP_RHO($B$3,$B$4)*18.01528*0.062428</f>
        <v>61.98776947</v>
      </c>
      <c r="E11" s="13" t="s">
        <v>32</v>
      </c>
      <c r="F11" s="13" t="s">
        <v>36</v>
      </c>
      <c r="G11" s="14"/>
    </row>
    <row r="12">
      <c r="A12" s="10" t="s">
        <v>37</v>
      </c>
      <c r="B12" s="11">
        <f>INTERP_H($B$3,$B$4)</f>
        <v>2.8563</v>
      </c>
      <c r="C12" s="10" t="s">
        <v>38</v>
      </c>
      <c r="D12" s="11">
        <f>INTERP_H($B$3,$B$4)*430</f>
        <v>1228.209</v>
      </c>
      <c r="E12" s="10" t="s">
        <v>39</v>
      </c>
      <c r="F12" s="11"/>
      <c r="G12" s="11"/>
    </row>
    <row r="13">
      <c r="A13" s="13" t="s">
        <v>40</v>
      </c>
      <c r="B13" s="14">
        <f>INTERP_H($B$3,$B$4)/0.01801528</f>
        <v>158.5487431</v>
      </c>
      <c r="C13" s="13" t="s">
        <v>41</v>
      </c>
      <c r="D13" s="15">
        <f>INTERP_H($B$3,$B$4)/0.01801528*0.429923</f>
        <v>68.16375127</v>
      </c>
      <c r="E13" s="13" t="s">
        <v>42</v>
      </c>
      <c r="F13" s="13" t="s">
        <v>43</v>
      </c>
      <c r="G13" s="14"/>
    </row>
    <row r="14">
      <c r="A14" s="10" t="s">
        <v>44</v>
      </c>
      <c r="B14" s="11">
        <f>INTERP_CV($B$3,$B$4)</f>
        <v>0.0735616</v>
      </c>
      <c r="C14" s="10" t="s">
        <v>45</v>
      </c>
      <c r="D14" s="11">
        <f>INTERP_CV($B$3,$B$4)*238.85</f>
        <v>17.57018816</v>
      </c>
      <c r="E14" s="10" t="s">
        <v>46</v>
      </c>
      <c r="F14" s="11"/>
      <c r="G14" s="11"/>
    </row>
    <row r="15">
      <c r="A15" s="10" t="s">
        <v>47</v>
      </c>
      <c r="B15" s="11">
        <f>INTERP_CP($B$3,$B$4)</f>
        <v>0.0752963</v>
      </c>
      <c r="C15" s="10" t="s">
        <v>45</v>
      </c>
      <c r="D15" s="11">
        <f>INTERP_CP($B$3,$B$4)*238.85</f>
        <v>17.98452126</v>
      </c>
      <c r="E15" s="10" t="s">
        <v>46</v>
      </c>
      <c r="F15" s="11"/>
      <c r="G15" s="11"/>
    </row>
    <row r="16">
      <c r="A16" s="10" t="s">
        <v>48</v>
      </c>
      <c r="B16" s="11">
        <f>INTERP_MU($B$3,$B$4)</f>
        <v>681.888</v>
      </c>
      <c r="C16" s="10" t="s">
        <v>49</v>
      </c>
      <c r="D16" s="11">
        <f>INTERP_MU($B$3,$B$4)*0.00241909</f>
        <v>1.649548442</v>
      </c>
      <c r="E16" s="10" t="s">
        <v>50</v>
      </c>
      <c r="F16" s="11"/>
      <c r="G16" s="11"/>
    </row>
    <row r="17">
      <c r="A17" s="10" t="s">
        <v>51</v>
      </c>
      <c r="B17" s="11">
        <f>INTERP_K($B$3,$B$4)</f>
        <v>627.416</v>
      </c>
      <c r="C17" s="10" t="s">
        <v>52</v>
      </c>
      <c r="D17" s="11">
        <f>INTERP_K($B$3,$B$4)*0.57779</f>
        <v>362.5146906</v>
      </c>
      <c r="E17" s="10" t="s">
        <v>53</v>
      </c>
      <c r="F17" s="11"/>
      <c r="G17" s="11"/>
    </row>
    <row r="19">
      <c r="A19" s="16" t="s">
        <v>54</v>
      </c>
    </row>
  </sheetData>
  <mergeCells count="3">
    <mergeCell ref="A1:G1"/>
    <mergeCell ref="A6:G6"/>
    <mergeCell ref="A19:G19"/>
  </mergeCells>
  <dataValidations>
    <dataValidation type="list" allowBlank="1" showInputMessage="1" prompt="Choose from table or type any value 273.16–560 K" sqref="B3">
      <formula1>Data!$A$2:$A$31</formula1>
    </dataValidation>
    <dataValidation type="list" allowBlank="1" sqref="B4">
      <formula1>"TRUE,FALSE"</formula1>
    </dataValidation>
  </dataValidations>
  <drawing r:id="rId2"/>
  <legacyDrawing r:id="rId3"/>
</worksheet>
</file>